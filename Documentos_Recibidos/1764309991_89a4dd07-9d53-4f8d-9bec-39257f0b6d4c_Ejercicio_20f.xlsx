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ok\Downloads\"/>
    </mc:Choice>
  </mc:AlternateContent>
  <xr:revisionPtr revIDLastSave="0" documentId="13_ncr:1_{12DE7D5E-0AF9-47E9-A506-56D5ED7DFEF6}" xr6:coauthVersionLast="47" xr6:coauthVersionMax="47" xr10:uidLastSave="{00000000-0000-0000-0000-000000000000}"/>
  <bookViews>
    <workbookView xWindow="-108" yWindow="-108" windowWidth="23256" windowHeight="12456" activeTab="2" xr2:uid="{45DB2DEF-0986-4211-AD08-D040EBB1398E}"/>
  </bookViews>
  <sheets>
    <sheet name="Datos" sheetId="4" r:id="rId1"/>
    <sheet name="Proyecto Puro" sheetId="3" r:id="rId2"/>
    <sheet name="Proyecto Finaciad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3" l="1"/>
  <c r="F27" i="3"/>
  <c r="G27" i="3"/>
  <c r="H27" i="3"/>
  <c r="I27" i="3"/>
  <c r="J27" i="3"/>
  <c r="E27" i="3"/>
  <c r="E25" i="3"/>
  <c r="J24" i="3"/>
  <c r="G23" i="3"/>
  <c r="H23" i="3"/>
  <c r="I23" i="3"/>
  <c r="J23" i="3"/>
  <c r="G22" i="3"/>
  <c r="H22" i="3"/>
  <c r="I22" i="3"/>
  <c r="J22" i="3"/>
  <c r="G21" i="3"/>
  <c r="H21" i="3"/>
  <c r="I21" i="3"/>
  <c r="J21" i="3"/>
  <c r="G20" i="3"/>
  <c r="H20" i="3"/>
  <c r="I20" i="3"/>
  <c r="J20" i="3"/>
  <c r="F21" i="3"/>
  <c r="F22" i="3"/>
  <c r="F23" i="3"/>
  <c r="F20" i="3"/>
  <c r="I16" i="3"/>
  <c r="I17" i="3" s="1"/>
  <c r="J16" i="3"/>
  <c r="J17" i="3" s="1"/>
  <c r="G9" i="3"/>
  <c r="H9" i="3"/>
  <c r="I9" i="3"/>
  <c r="J9" i="3"/>
  <c r="F9" i="3"/>
  <c r="G8" i="3"/>
  <c r="H8" i="3"/>
  <c r="H16" i="3" s="1"/>
  <c r="I8" i="3"/>
  <c r="J8" i="3"/>
  <c r="G7" i="3"/>
  <c r="H7" i="3"/>
  <c r="I7" i="3"/>
  <c r="J7" i="3"/>
  <c r="F8" i="3"/>
  <c r="F7" i="3"/>
  <c r="G6" i="3"/>
  <c r="H6" i="3"/>
  <c r="I6" i="3"/>
  <c r="J6" i="3"/>
  <c r="F6" i="3"/>
  <c r="J33" i="4"/>
  <c r="F5" i="3"/>
  <c r="F16" i="3" s="1"/>
  <c r="G5" i="3"/>
  <c r="G16" i="3" s="1"/>
  <c r="H5" i="3"/>
  <c r="I5" i="3"/>
  <c r="J5" i="3"/>
  <c r="D35" i="4"/>
  <c r="P27" i="4"/>
  <c r="P25" i="4"/>
  <c r="P22" i="4"/>
  <c r="P21" i="4"/>
  <c r="O14" i="4"/>
  <c r="O13" i="4"/>
  <c r="O12" i="4"/>
  <c r="N13" i="4"/>
  <c r="N14" i="4"/>
  <c r="N15" i="4"/>
  <c r="N16" i="4"/>
  <c r="N12" i="4"/>
  <c r="M12" i="4"/>
  <c r="M8" i="4"/>
  <c r="G17" i="3" l="1"/>
  <c r="G18" i="3"/>
  <c r="H17" i="3"/>
  <c r="H18" i="3"/>
  <c r="F17" i="3"/>
  <c r="F18" i="3" s="1"/>
  <c r="I18" i="3"/>
  <c r="J18" i="3"/>
  <c r="P12" i="4"/>
  <c r="M13" i="4" s="1"/>
  <c r="P13" i="4" l="1"/>
  <c r="M14" i="4" s="1"/>
  <c r="P14" i="4" l="1"/>
  <c r="M15" i="4" s="1"/>
  <c r="O15" i="4" s="1"/>
  <c r="P15" i="4" l="1"/>
  <c r="M16" i="4" s="1"/>
  <c r="O16" i="4" s="1"/>
  <c r="P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IVAN RODRIGUEZ  ESPINOZA</author>
  </authors>
  <commentList>
    <comment ref="C10" authorId="0" shapeId="0" xr:uid="{F872E260-BDFF-498A-8EDC-93A9962DEF00}">
      <text>
        <r>
          <rPr>
            <sz val="9"/>
            <color indexed="81"/>
            <rFont val="Tahoma"/>
            <family val="2"/>
          </rPr>
          <t xml:space="preserve">Se suman posterior al pago de impuesto, por no es una salida efectiva de dinero, si no un desembolso contable
</t>
        </r>
      </text>
    </comment>
    <comment ref="C15" authorId="0" shapeId="0" xr:uid="{8AF537BD-2298-4E45-BF18-144242E0AB80}">
      <text>
        <r>
          <rPr>
            <sz val="9"/>
            <color indexed="81"/>
            <rFont val="Tahoma"/>
            <family val="2"/>
          </rPr>
          <t>Es la difrencia entre en valor residua y el valor libro de los activos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19" authorId="0" shapeId="0" xr:uid="{0F2A5E31-ABDD-4B8D-AC8F-6D0E21A5B23D}">
      <text>
        <r>
          <rPr>
            <sz val="9"/>
            <color indexed="81"/>
            <rFont val="Tahoma"/>
            <family val="2"/>
          </rPr>
          <t xml:space="preserve">Se suman posterior al pago de impuesto, por no es una salida efectiva de dinero, si no un desembolso contable
</t>
        </r>
      </text>
    </comment>
    <comment ref="C24" authorId="0" shapeId="0" xr:uid="{0DE2E77D-BBB9-44F0-AB4B-90ECC3B9A8EA}">
      <text>
        <r>
          <rPr>
            <sz val="9"/>
            <color indexed="81"/>
            <rFont val="Tahoma"/>
            <family val="2"/>
          </rPr>
          <t>Es la difrencia entre en valor residua y el valor libro de los activos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25" authorId="0" shapeId="0" xr:uid="{B4E672F6-69F0-4562-9FAC-D3018CCA463F}">
      <text>
        <r>
          <rPr>
            <sz val="9"/>
            <color indexed="81"/>
            <rFont val="Tahoma"/>
            <family val="2"/>
          </rPr>
          <t xml:space="preserve">Incluye inversiión en capital de trabajo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IVAN RODRIGUEZ  ESPINOZA</author>
  </authors>
  <commentList>
    <comment ref="C10" authorId="0" shapeId="0" xr:uid="{BC0A1AC6-6523-4F0F-87E7-D699D33F389D}">
      <text>
        <r>
          <rPr>
            <sz val="9"/>
            <color indexed="81"/>
            <rFont val="Tahoma"/>
            <family val="2"/>
          </rPr>
          <t xml:space="preserve">Son los intereses, que se pagan por cada años de la deuda
</t>
        </r>
      </text>
    </comment>
    <comment ref="C11" authorId="0" shapeId="0" xr:uid="{F76FA278-392B-49A6-AB12-4266CD9880E4}">
      <text>
        <r>
          <rPr>
            <sz val="9"/>
            <color indexed="81"/>
            <rFont val="Tahoma"/>
            <family val="2"/>
          </rPr>
          <t xml:space="preserve">Se resta las depreciaciones de los activos, para bajar la base imponible tributaria
</t>
        </r>
      </text>
    </comment>
    <comment ref="C12" authorId="0" shapeId="0" xr:uid="{1E38706F-A6E8-43C5-81EC-D5A20303CA0E}">
      <text>
        <r>
          <rPr>
            <sz val="9"/>
            <color indexed="81"/>
            <rFont val="Tahoma"/>
            <family val="2"/>
          </rPr>
          <t>Es la difrencia entre en valor residua y el valor libro de los activos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16" authorId="0" shapeId="0" xr:uid="{2FEA6C26-BDFB-4900-9DAC-2DF027A2185A}">
      <text>
        <r>
          <rPr>
            <sz val="9"/>
            <color indexed="81"/>
            <rFont val="Tahoma"/>
            <family val="2"/>
          </rPr>
          <t xml:space="preserve">Se suman posterior al pago de impuesto, por no es una salida efectiva de dinero, si no un desembolso contable
</t>
        </r>
      </text>
    </comment>
    <comment ref="C18" authorId="0" shapeId="0" xr:uid="{92A0C16C-141A-4597-AC00-0EE0108F9C5D}">
      <text>
        <r>
          <rPr>
            <sz val="9"/>
            <color indexed="81"/>
            <rFont val="Tahoma"/>
            <family val="2"/>
          </rPr>
          <t xml:space="preserve">Se ingresa de forma positiva, ya que un ingreso de flujo de caja del proyecto
</t>
        </r>
      </text>
    </comment>
    <comment ref="C19" authorId="0" shapeId="0" xr:uid="{CF43F8C1-D088-4A1E-91AE-D79A5CB321C7}">
      <text>
        <r>
          <rPr>
            <sz val="9"/>
            <color indexed="81"/>
            <rFont val="Tahoma"/>
            <family val="2"/>
          </rPr>
          <t xml:space="preserve">Las amortizaciones se restan ya que es la parte que se amortiza de la deuda de capital del préstamo
</t>
        </r>
      </text>
    </comment>
    <comment ref="C20" authorId="0" shapeId="0" xr:uid="{40E8B629-4063-4731-BC2B-4CD254BC8C32}">
      <text>
        <r>
          <rPr>
            <sz val="9"/>
            <color indexed="81"/>
            <rFont val="Tahoma"/>
            <family val="2"/>
          </rPr>
          <t xml:space="preserve">Incluye inversiión en capital de trabajo
</t>
        </r>
      </text>
    </comment>
    <comment ref="C21" authorId="0" shapeId="0" xr:uid="{645E252D-5AA3-40D5-9332-94F7A75AE552}">
      <text>
        <r>
          <rPr>
            <sz val="9"/>
            <color indexed="81"/>
            <rFont val="Tahoma"/>
            <family val="2"/>
          </rPr>
          <t xml:space="preserve">Es el Valor de rescate de los activos al final de su vida útil
</t>
        </r>
      </text>
    </comment>
  </commentList>
</comments>
</file>

<file path=xl/sharedStrings.xml><?xml version="1.0" encoding="utf-8"?>
<sst xmlns="http://schemas.openxmlformats.org/spreadsheetml/2006/main" count="190" uniqueCount="103">
  <si>
    <t>Ingresos</t>
  </si>
  <si>
    <t>Costos Operacionales</t>
  </si>
  <si>
    <t>Costos de Mantención</t>
  </si>
  <si>
    <t>Costos de Administración</t>
  </si>
  <si>
    <t>Seguros</t>
  </si>
  <si>
    <t>Gatos Finacieros</t>
  </si>
  <si>
    <t>Depreciaciones</t>
  </si>
  <si>
    <t>Hangar</t>
  </si>
  <si>
    <t>Obras Fisicas</t>
  </si>
  <si>
    <t>Equipos de Fuselaje</t>
  </si>
  <si>
    <t>Ganancias de Capital</t>
  </si>
  <si>
    <t>Utilidad Antes de Impuesto</t>
  </si>
  <si>
    <t>Impuesto (15%)</t>
  </si>
  <si>
    <t>Utilidad después de Impuesto</t>
  </si>
  <si>
    <t>Ganacia de Capital</t>
  </si>
  <si>
    <t>Préstamo</t>
  </si>
  <si>
    <t>Amortizaciones</t>
  </si>
  <si>
    <t>inversiones</t>
  </si>
  <si>
    <t>Recuperacion de Valores Residuales</t>
  </si>
  <si>
    <t>Flujo de Caja Neto</t>
  </si>
  <si>
    <t>Van (12%)</t>
  </si>
  <si>
    <t>+</t>
  </si>
  <si>
    <t>-</t>
  </si>
  <si>
    <t>=</t>
  </si>
  <si>
    <t>Equipos Instrumental</t>
  </si>
  <si>
    <t>Flujo de Caja Proyecto Financiado</t>
  </si>
  <si>
    <t>Flujo de Caja Proyecto  Financiado</t>
  </si>
  <si>
    <t>Para calculo de Depreciación</t>
  </si>
  <si>
    <t>Tabla para calculo de Ganancia de Capital</t>
  </si>
  <si>
    <t>Valor cuota y Tabla de Amortización</t>
  </si>
  <si>
    <t>Plazo</t>
  </si>
  <si>
    <t>Cuota</t>
  </si>
  <si>
    <t>Año</t>
  </si>
  <si>
    <t>Saldo</t>
  </si>
  <si>
    <t>Interes</t>
  </si>
  <si>
    <t xml:space="preserve">Amortizacion </t>
  </si>
  <si>
    <t>Monto Prestamo</t>
  </si>
  <si>
    <t>AÑOS</t>
  </si>
  <si>
    <t>Calculo de Inversion</t>
  </si>
  <si>
    <t>Equipo Instrumental</t>
  </si>
  <si>
    <t>Equipo de Fuselaje</t>
  </si>
  <si>
    <t>Mts</t>
  </si>
  <si>
    <t>Precio</t>
  </si>
  <si>
    <t>Total</t>
  </si>
  <si>
    <t>US$</t>
  </si>
  <si>
    <t>Terreno</t>
  </si>
  <si>
    <t>Capital de Trabajo</t>
  </si>
  <si>
    <t>Total Inversion</t>
  </si>
  <si>
    <t>Demanda Estimada</t>
  </si>
  <si>
    <t>Mantenciones</t>
  </si>
  <si>
    <t>Total por Años</t>
  </si>
  <si>
    <t>Costos</t>
  </si>
  <si>
    <t>Operacionales</t>
  </si>
  <si>
    <t>Mantencion</t>
  </si>
  <si>
    <t>Administración</t>
  </si>
  <si>
    <t>Precio US$</t>
  </si>
  <si>
    <t>TOTAL</t>
  </si>
  <si>
    <t xml:space="preserve">Impuesto </t>
  </si>
  <si>
    <t>ITEMS</t>
  </si>
  <si>
    <t>11250000.00</t>
  </si>
  <si>
    <t>-7470000.00</t>
  </si>
  <si>
    <t>-180000.00</t>
  </si>
  <si>
    <t>-25000.00</t>
  </si>
  <si>
    <t>-5000.00</t>
  </si>
  <si>
    <t>-87654.40</t>
  </si>
  <si>
    <t>-72713.14</t>
  </si>
  <si>
    <t>-56576.58</t>
  </si>
  <si>
    <t>-39149.10</t>
  </si>
  <si>
    <t>-20327.42</t>
  </si>
  <si>
    <t>-190920.00</t>
  </si>
  <si>
    <t>177720.00</t>
  </si>
  <si>
    <t>3291425.60</t>
  </si>
  <si>
    <t>3306366.86</t>
  </si>
  <si>
    <t>3322503.42</t>
  </si>
  <si>
    <t>3339930.90</t>
  </si>
  <si>
    <t>3536472.58</t>
  </si>
  <si>
    <t>-493713.84</t>
  </si>
  <si>
    <t>-495955.03</t>
  </si>
  <si>
    <t>-498375.51</t>
  </si>
  <si>
    <t>-500989.64</t>
  </si>
  <si>
    <t>-530470.89</t>
  </si>
  <si>
    <t>2797711.76</t>
  </si>
  <si>
    <t>2810411.83</t>
  </si>
  <si>
    <t>2824127.91</t>
  </si>
  <si>
    <t>2838941.26</t>
  </si>
  <si>
    <t>3006001.69</t>
  </si>
  <si>
    <t>190920.00</t>
  </si>
  <si>
    <t>-177720.00</t>
  </si>
  <si>
    <t>1095680.00</t>
  </si>
  <si>
    <t>-186765.73</t>
  </si>
  <si>
    <t>-201706.99</t>
  </si>
  <si>
    <t>-217843.55</t>
  </si>
  <si>
    <t>-235271.03</t>
  </si>
  <si>
    <t>-254092.71</t>
  </si>
  <si>
    <t>-2739200.00</t>
  </si>
  <si>
    <t>1962320.00</t>
  </si>
  <si>
    <t>-1643520.00</t>
  </si>
  <si>
    <t>2801866.03</t>
  </si>
  <si>
    <t>2799624.84</t>
  </si>
  <si>
    <t>2797204.36</t>
  </si>
  <si>
    <t>2794590.23</t>
  </si>
  <si>
    <t>4727428.97</t>
  </si>
  <si>
    <t>9540143.55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</si>
</sst>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&quot;$&quot;\-#,##0.00"/>
    <numFmt numFmtId="42" formatCode="_ &quot;$&quot;* #,##0_ ;_ &quot;$&quot;* \-#,##0_ ;_ &quot;$&quot;* &quot;-&quot;_ ;_ @_ "/>
    <numFmt numFmtId="41" formatCode="_ * #,##0_ ;_ * \-#,##0_ ;_ * &quot;-&quot;_ ;_ @_ "/>
    <numFmt numFmtId="164" formatCode="_ &quot;$&quot;* #,##0.00_ ;_ &quot;$&quot;* \-#,##0.00_ ;_ &quot;$&quot;* &quot;-&quot;_ ;_ @_ "/>
    <numFmt numFmtId="165" formatCode="_ &quot;$&quot;* #,##0_ ;_ &quot;$&quot;* \-#,##0_ ;_ &quot;$&quot;* &quot;-&quot;??_ ;_ @_ "/>
    <numFmt numFmtId="166" formatCode="_ &quot;$&quot;* #,##0.0_ ;_ &quot;$&quot;* \-#,##0.0_ ;_ &quot;$&quot;* &quot;-&quot;_ ;_ @_ 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3" fillId="2" borderId="8" xfId="0" applyFont="1" applyFill="1" applyBorder="1" applyAlignment="1">
      <alignment horizontal="center"/>
    </xf>
    <xf numFmtId="0" fontId="2" fillId="2" borderId="8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3" fillId="3" borderId="13" xfId="0" applyFont="1" applyFill="1" applyBorder="1" applyAlignment="1">
      <alignment horizontal="center"/>
    </xf>
    <xf numFmtId="0" fontId="0" fillId="3" borderId="13" xfId="0" applyFill="1" applyBorder="1"/>
    <xf numFmtId="0" fontId="0" fillId="3" borderId="1" xfId="0" applyFill="1" applyBorder="1"/>
    <xf numFmtId="0" fontId="0" fillId="3" borderId="6" xfId="0" applyFill="1" applyBorder="1"/>
    <xf numFmtId="0" fontId="3" fillId="2" borderId="0" xfId="0" applyFont="1" applyFill="1"/>
    <xf numFmtId="0" fontId="6" fillId="4" borderId="1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42" fontId="7" fillId="0" borderId="18" xfId="0" applyNumberFormat="1" applyFont="1" applyBorder="1"/>
    <xf numFmtId="164" fontId="7" fillId="0" borderId="18" xfId="0" applyNumberFormat="1" applyFont="1" applyBorder="1"/>
    <xf numFmtId="165" fontId="7" fillId="0" borderId="18" xfId="0" applyNumberFormat="1" applyFont="1" applyBorder="1"/>
    <xf numFmtId="0" fontId="6" fillId="5" borderId="20" xfId="0" applyFont="1" applyFill="1" applyBorder="1" applyAlignment="1">
      <alignment horizontal="center"/>
    </xf>
    <xf numFmtId="165" fontId="7" fillId="0" borderId="21" xfId="0" applyNumberFormat="1" applyFont="1" applyBorder="1"/>
    <xf numFmtId="164" fontId="7" fillId="0" borderId="21" xfId="0" applyNumberFormat="1" applyFont="1" applyBorder="1"/>
    <xf numFmtId="42" fontId="7" fillId="0" borderId="21" xfId="0" applyNumberFormat="1" applyFont="1" applyBorder="1"/>
    <xf numFmtId="0" fontId="1" fillId="5" borderId="23" xfId="0" applyFont="1" applyFill="1" applyBorder="1"/>
    <xf numFmtId="42" fontId="7" fillId="0" borderId="24" xfId="0" applyNumberFormat="1" applyFont="1" applyBorder="1" applyAlignment="1">
      <alignment horizontal="center" vertical="center"/>
    </xf>
    <xf numFmtId="0" fontId="0" fillId="0" borderId="25" xfId="0" applyBorder="1"/>
    <xf numFmtId="0" fontId="1" fillId="5" borderId="26" xfId="0" applyFont="1" applyFill="1" applyBorder="1"/>
    <xf numFmtId="0" fontId="0" fillId="0" borderId="10" xfId="0" applyBorder="1" applyAlignment="1">
      <alignment horizontal="center" vertical="center"/>
    </xf>
    <xf numFmtId="0" fontId="0" fillId="0" borderId="27" xfId="0" applyBorder="1"/>
    <xf numFmtId="9" fontId="7" fillId="0" borderId="10" xfId="0" applyNumberFormat="1" applyFont="1" applyBorder="1" applyAlignment="1">
      <alignment horizontal="center" vertical="center"/>
    </xf>
    <xf numFmtId="0" fontId="1" fillId="5" borderId="28" xfId="0" applyFont="1" applyFill="1" applyBorder="1"/>
    <xf numFmtId="8" fontId="7" fillId="0" borderId="29" xfId="0" applyNumberFormat="1" applyFont="1" applyBorder="1" applyAlignment="1">
      <alignment horizontal="center" vertical="center"/>
    </xf>
    <xf numFmtId="0" fontId="0" fillId="0" borderId="30" xfId="0" applyBorder="1"/>
    <xf numFmtId="166" fontId="7" fillId="0" borderId="19" xfId="0" applyNumberFormat="1" applyFont="1" applyBorder="1"/>
    <xf numFmtId="166" fontId="7" fillId="0" borderId="22" xfId="0" applyNumberFormat="1" applyFont="1" applyBorder="1"/>
    <xf numFmtId="0" fontId="10" fillId="2" borderId="7" xfId="0" applyFont="1" applyFill="1" applyBorder="1"/>
    <xf numFmtId="0" fontId="0" fillId="2" borderId="31" xfId="0" applyFill="1" applyBorder="1"/>
    <xf numFmtId="0" fontId="0" fillId="2" borderId="32" xfId="0" applyFill="1" applyBorder="1"/>
    <xf numFmtId="0" fontId="10" fillId="2" borderId="8" xfId="0" applyFont="1" applyFill="1" applyBorder="1"/>
    <xf numFmtId="0" fontId="10" fillId="2" borderId="9" xfId="0" applyFont="1" applyFill="1" applyBorder="1"/>
    <xf numFmtId="0" fontId="11" fillId="6" borderId="7" xfId="0" applyFont="1" applyFill="1" applyBorder="1" applyAlignment="1">
      <alignment horizontal="left"/>
    </xf>
    <xf numFmtId="0" fontId="2" fillId="6" borderId="3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41" fontId="0" fillId="2" borderId="3" xfId="1" applyFont="1" applyFill="1" applyBorder="1"/>
    <xf numFmtId="41" fontId="0" fillId="2" borderId="4" xfId="1" applyFont="1" applyFill="1" applyBorder="1"/>
    <xf numFmtId="41" fontId="9" fillId="2" borderId="3" xfId="1" applyFont="1" applyFill="1" applyBorder="1"/>
    <xf numFmtId="41" fontId="9" fillId="2" borderId="4" xfId="1" applyFont="1" applyFill="1" applyBorder="1"/>
    <xf numFmtId="0" fontId="10" fillId="2" borderId="13" xfId="0" applyFont="1" applyFill="1" applyBorder="1"/>
    <xf numFmtId="0" fontId="0" fillId="2" borderId="5" xfId="0" applyFill="1" applyBorder="1"/>
    <xf numFmtId="41" fontId="9" fillId="2" borderId="6" xfId="1" applyFont="1" applyFill="1" applyBorder="1"/>
    <xf numFmtId="0" fontId="13" fillId="7" borderId="0" xfId="0" applyFont="1" applyFill="1"/>
    <xf numFmtId="41" fontId="13" fillId="7" borderId="0" xfId="0" applyNumberFormat="1" applyFont="1" applyFill="1"/>
    <xf numFmtId="0" fontId="11" fillId="2" borderId="0" xfId="0" applyFont="1" applyFill="1"/>
    <xf numFmtId="0" fontId="10" fillId="2" borderId="31" xfId="0" applyFont="1" applyFill="1" applyBorder="1"/>
    <xf numFmtId="0" fontId="10" fillId="2" borderId="0" xfId="0" applyFont="1" applyFill="1"/>
    <xf numFmtId="41" fontId="10" fillId="2" borderId="2" xfId="1" applyFont="1" applyFill="1" applyBorder="1"/>
    <xf numFmtId="41" fontId="10" fillId="2" borderId="3" xfId="1" applyFont="1" applyFill="1" applyBorder="1"/>
    <xf numFmtId="0" fontId="10" fillId="7" borderId="9" xfId="0" applyFont="1" applyFill="1" applyBorder="1"/>
    <xf numFmtId="0" fontId="10" fillId="7" borderId="32" xfId="0" applyFont="1" applyFill="1" applyBorder="1"/>
    <xf numFmtId="41" fontId="10" fillId="7" borderId="4" xfId="1" applyFont="1" applyFill="1" applyBorder="1"/>
    <xf numFmtId="0" fontId="10" fillId="2" borderId="11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1" fillId="7" borderId="13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41" fontId="0" fillId="2" borderId="7" xfId="1" applyFont="1" applyFill="1" applyBorder="1"/>
    <xf numFmtId="41" fontId="0" fillId="2" borderId="2" xfId="1" applyFont="1" applyFill="1" applyBorder="1"/>
    <xf numFmtId="41" fontId="0" fillId="2" borderId="8" xfId="1" applyFont="1" applyFill="1" applyBorder="1"/>
    <xf numFmtId="41" fontId="0" fillId="3" borderId="13" xfId="1" applyFont="1" applyFill="1" applyBorder="1"/>
    <xf numFmtId="41" fontId="0" fillId="3" borderId="1" xfId="1" applyFont="1" applyFill="1" applyBorder="1"/>
    <xf numFmtId="41" fontId="0" fillId="2" borderId="11" xfId="1" applyFont="1" applyFill="1" applyBorder="1"/>
    <xf numFmtId="41" fontId="0" fillId="2" borderId="9" xfId="1" applyFont="1" applyFill="1" applyBorder="1"/>
    <xf numFmtId="9" fontId="11" fillId="2" borderId="0" xfId="0" applyNumberFormat="1" applyFont="1" applyFill="1"/>
    <xf numFmtId="41" fontId="2" fillId="3" borderId="1" xfId="1" applyFont="1" applyFill="1" applyBorder="1"/>
    <xf numFmtId="8" fontId="2" fillId="7" borderId="4" xfId="0" applyNumberFormat="1" applyFont="1" applyFill="1" applyBorder="1"/>
    <xf numFmtId="0" fontId="14" fillId="2" borderId="0" xfId="0" applyFont="1" applyFill="1"/>
    <xf numFmtId="0" fontId="2" fillId="8" borderId="13" xfId="0" applyFont="1" applyFill="1" applyBorder="1"/>
    <xf numFmtId="0" fontId="2" fillId="8" borderId="1" xfId="0" applyFont="1" applyFill="1" applyBorder="1"/>
    <xf numFmtId="0" fontId="2" fillId="8" borderId="5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7</xdr:col>
          <xdr:colOff>731520</xdr:colOff>
          <xdr:row>14</xdr:row>
          <xdr:rowOff>76200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18</xdr:row>
      <xdr:rowOff>0</xdr:rowOff>
    </xdr:from>
    <xdr:to>
      <xdr:col>9</xdr:col>
      <xdr:colOff>914400</xdr:colOff>
      <xdr:row>25</xdr:row>
      <xdr:rowOff>290535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29000"/>
          <a:ext cx="7772400" cy="2308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657360</xdr:colOff>
      <xdr:row>26</xdr:row>
      <xdr:rowOff>80492</xdr:rowOff>
    </xdr:from>
    <xdr:to>
      <xdr:col>11</xdr:col>
      <xdr:colOff>45077</xdr:colOff>
      <xdr:row>30</xdr:row>
      <xdr:rowOff>80492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657360" y="5929647"/>
          <a:ext cx="8402928" cy="751268"/>
        </a:xfrm>
        <a:prstGeom prst="rect">
          <a:avLst/>
        </a:prstGeom>
        <a:noFill/>
        <a:ln>
          <a:noFill/>
        </a:ln>
        <a:effectLst/>
      </xdr:spPr>
      <xdr:txBody>
        <a:bodyPr wrap="square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+mn-cs"/>
            </a:defRPr>
          </a:lvl9pPr>
        </a:lstStyle>
        <a:p>
          <a:pPr>
            <a:defRPr/>
          </a:pPr>
          <a:r>
            <a:rPr lang="es-ES_tradnl" sz="2000"/>
            <a:t>Ganancia de capital = 1.962.320 - 1.784.600 = 177.720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F35B-34CE-4ECD-929F-AAA38E1A2664}">
  <dimension ref="B3:P38"/>
  <sheetViews>
    <sheetView topLeftCell="A19" zoomScale="77" zoomScaleNormal="77" workbookViewId="0">
      <selection activeCell="B38" sqref="B38:C38"/>
    </sheetView>
  </sheetViews>
  <sheetFormatPr baseColWidth="10" defaultColWidth="11.44140625" defaultRowHeight="14.4" x14ac:dyDescent="0.3"/>
  <cols>
    <col min="1" max="1" width="11.44140625" style="1"/>
    <col min="2" max="2" width="13.88671875" style="1" customWidth="1"/>
    <col min="3" max="3" width="11.44140625" style="1"/>
    <col min="4" max="4" width="18.5546875" style="1" bestFit="1" customWidth="1"/>
    <col min="5" max="8" width="11.44140625" style="1"/>
    <col min="9" max="9" width="13.5546875" style="1" customWidth="1"/>
    <col min="10" max="10" width="13.88671875" style="1" bestFit="1" customWidth="1"/>
    <col min="11" max="11" width="20.5546875" style="1" customWidth="1"/>
    <col min="12" max="12" width="19.109375" style="1" customWidth="1"/>
    <col min="13" max="14" width="15.44140625" style="1" customWidth="1"/>
    <col min="15" max="15" width="15.88671875" style="1" customWidth="1"/>
    <col min="16" max="16" width="20.6640625" style="1" customWidth="1"/>
    <col min="17" max="16384" width="11.44140625" style="1"/>
  </cols>
  <sheetData>
    <row r="3" spans="3:16" ht="18" x14ac:dyDescent="0.35">
      <c r="C3" s="15" t="s">
        <v>27</v>
      </c>
      <c r="D3" s="15"/>
      <c r="M3" s="15" t="s">
        <v>29</v>
      </c>
      <c r="N3" s="15"/>
      <c r="O3" s="15"/>
    </row>
    <row r="4" spans="3:16" ht="15" thickBot="1" x14ac:dyDescent="0.35"/>
    <row r="5" spans="3:16" x14ac:dyDescent="0.3">
      <c r="L5" s="27" t="s">
        <v>36</v>
      </c>
      <c r="M5" s="28">
        <v>1095680</v>
      </c>
      <c r="N5" s="29"/>
    </row>
    <row r="6" spans="3:16" x14ac:dyDescent="0.3">
      <c r="L6" s="30" t="s">
        <v>30</v>
      </c>
      <c r="M6" s="31">
        <v>5</v>
      </c>
      <c r="N6" s="32" t="s">
        <v>37</v>
      </c>
    </row>
    <row r="7" spans="3:16" x14ac:dyDescent="0.3">
      <c r="L7" s="30" t="s">
        <v>34</v>
      </c>
      <c r="M7" s="33">
        <v>0.08</v>
      </c>
      <c r="N7" s="32"/>
    </row>
    <row r="8" spans="3:16" ht="15" thickBot="1" x14ac:dyDescent="0.35">
      <c r="L8" s="34" t="s">
        <v>31</v>
      </c>
      <c r="M8" s="35">
        <f>PMT(M7,M6,M5)</f>
        <v>-274420.12813979154</v>
      </c>
      <c r="N8" s="36"/>
    </row>
    <row r="10" spans="3:16" ht="15" thickBot="1" x14ac:dyDescent="0.35"/>
    <row r="11" spans="3:16" x14ac:dyDescent="0.3">
      <c r="L11" s="16" t="s">
        <v>32</v>
      </c>
      <c r="M11" s="17" t="s">
        <v>33</v>
      </c>
      <c r="N11" s="17" t="s">
        <v>31</v>
      </c>
      <c r="O11" s="17" t="s">
        <v>34</v>
      </c>
      <c r="P11" s="18" t="s">
        <v>35</v>
      </c>
    </row>
    <row r="12" spans="3:16" x14ac:dyDescent="0.3">
      <c r="L12" s="19">
        <v>1</v>
      </c>
      <c r="M12" s="20">
        <f>+M5</f>
        <v>1095680</v>
      </c>
      <c r="N12" s="21">
        <f>+$M$8*-1</f>
        <v>274420.12813979154</v>
      </c>
      <c r="O12" s="20">
        <f>+M5*M7</f>
        <v>87654.400000000009</v>
      </c>
      <c r="P12" s="37">
        <f t="shared" ref="P12:P16" si="0">+N12-O12</f>
        <v>186765.72813979152</v>
      </c>
    </row>
    <row r="13" spans="3:16" x14ac:dyDescent="0.3">
      <c r="L13" s="19">
        <v>2</v>
      </c>
      <c r="M13" s="22">
        <f t="shared" ref="M13:M16" si="1">+M12-P12</f>
        <v>908914.27186020848</v>
      </c>
      <c r="N13" s="21">
        <f t="shared" ref="N13:N16" si="2">+$M$8*-1</f>
        <v>274420.12813979154</v>
      </c>
      <c r="O13" s="20">
        <f>M13*$M$7</f>
        <v>72713.141748816677</v>
      </c>
      <c r="P13" s="37">
        <f t="shared" si="0"/>
        <v>201706.98639097487</v>
      </c>
    </row>
    <row r="14" spans="3:16" x14ac:dyDescent="0.3">
      <c r="L14" s="19">
        <v>3</v>
      </c>
      <c r="M14" s="22">
        <f t="shared" si="1"/>
        <v>707207.28546923364</v>
      </c>
      <c r="N14" s="21">
        <f t="shared" si="2"/>
        <v>274420.12813979154</v>
      </c>
      <c r="O14" s="20">
        <f t="shared" ref="O14:O16" si="3">M14*$M$7</f>
        <v>56576.582837538692</v>
      </c>
      <c r="P14" s="37">
        <f t="shared" si="0"/>
        <v>217843.54530225287</v>
      </c>
    </row>
    <row r="15" spans="3:16" x14ac:dyDescent="0.3">
      <c r="L15" s="19">
        <v>4</v>
      </c>
      <c r="M15" s="22">
        <f t="shared" si="1"/>
        <v>489363.74016698077</v>
      </c>
      <c r="N15" s="21">
        <f t="shared" si="2"/>
        <v>274420.12813979154</v>
      </c>
      <c r="O15" s="20">
        <f t="shared" si="3"/>
        <v>39149.099213358466</v>
      </c>
      <c r="P15" s="37">
        <f t="shared" si="0"/>
        <v>235271.02892643306</v>
      </c>
    </row>
    <row r="16" spans="3:16" ht="15" thickBot="1" x14ac:dyDescent="0.35">
      <c r="L16" s="23">
        <v>5</v>
      </c>
      <c r="M16" s="24">
        <f t="shared" si="1"/>
        <v>254092.71124054771</v>
      </c>
      <c r="N16" s="25">
        <f t="shared" si="2"/>
        <v>274420.12813979154</v>
      </c>
      <c r="O16" s="26">
        <f t="shared" si="3"/>
        <v>20327.416899243817</v>
      </c>
      <c r="P16" s="38">
        <f t="shared" si="0"/>
        <v>254092.71124054774</v>
      </c>
    </row>
    <row r="17" spans="2:16" ht="18" x14ac:dyDescent="0.35">
      <c r="B17" s="15" t="s">
        <v>28</v>
      </c>
      <c r="C17" s="15"/>
      <c r="D17" s="15"/>
      <c r="E17" s="15"/>
    </row>
    <row r="18" spans="2:16" ht="15" thickBot="1" x14ac:dyDescent="0.35"/>
    <row r="19" spans="2:16" ht="23.4" x14ac:dyDescent="0.45">
      <c r="L19" s="44" t="s">
        <v>38</v>
      </c>
      <c r="M19" s="45"/>
      <c r="N19" s="46" t="s">
        <v>41</v>
      </c>
      <c r="O19" s="46" t="s">
        <v>42</v>
      </c>
      <c r="P19" s="46" t="s">
        <v>43</v>
      </c>
    </row>
    <row r="20" spans="2:16" ht="15" thickBot="1" x14ac:dyDescent="0.35">
      <c r="L20" s="47"/>
      <c r="M20" s="48"/>
      <c r="N20" s="49"/>
      <c r="O20" s="49" t="s">
        <v>44</v>
      </c>
      <c r="P20" s="49" t="s">
        <v>44</v>
      </c>
    </row>
    <row r="21" spans="2:16" ht="23.4" x14ac:dyDescent="0.45">
      <c r="L21" s="39" t="s">
        <v>7</v>
      </c>
      <c r="M21" s="40"/>
      <c r="N21" s="52">
        <v>1200</v>
      </c>
      <c r="O21" s="52">
        <v>36</v>
      </c>
      <c r="P21" s="52">
        <f>N21*O21</f>
        <v>43200</v>
      </c>
    </row>
    <row r="22" spans="2:16" ht="23.4" x14ac:dyDescent="0.45">
      <c r="L22" s="42" t="s">
        <v>8</v>
      </c>
      <c r="N22" s="52">
        <v>8000</v>
      </c>
      <c r="O22" s="52">
        <v>27</v>
      </c>
      <c r="P22" s="52">
        <f>N22*O22</f>
        <v>216000</v>
      </c>
    </row>
    <row r="23" spans="2:16" ht="23.4" x14ac:dyDescent="0.45">
      <c r="L23" s="42" t="s">
        <v>39</v>
      </c>
      <c r="N23" s="52"/>
      <c r="O23" s="52"/>
      <c r="P23" s="52">
        <v>525000</v>
      </c>
    </row>
    <row r="24" spans="2:16" ht="23.4" x14ac:dyDescent="0.45">
      <c r="L24" s="42" t="s">
        <v>40</v>
      </c>
      <c r="N24" s="52"/>
      <c r="O24" s="52"/>
      <c r="P24" s="52">
        <v>300000</v>
      </c>
    </row>
    <row r="25" spans="2:16" ht="24" thickBot="1" x14ac:dyDescent="0.5">
      <c r="L25" s="43" t="s">
        <v>45</v>
      </c>
      <c r="M25" s="41"/>
      <c r="N25" s="53">
        <v>10000</v>
      </c>
      <c r="O25" s="53">
        <v>48</v>
      </c>
      <c r="P25" s="53">
        <f>N25*O25</f>
        <v>480000</v>
      </c>
    </row>
    <row r="26" spans="2:16" ht="24" thickBot="1" x14ac:dyDescent="0.5">
      <c r="L26" s="54" t="s">
        <v>46</v>
      </c>
      <c r="M26" s="55"/>
      <c r="N26" s="55"/>
      <c r="O26" s="55"/>
      <c r="P26" s="56">
        <v>1175000</v>
      </c>
    </row>
    <row r="27" spans="2:16" ht="25.8" x14ac:dyDescent="0.5">
      <c r="M27" s="57" t="s">
        <v>47</v>
      </c>
      <c r="N27" s="57"/>
      <c r="O27" s="57"/>
      <c r="P27" s="58">
        <f>SUM(P21:Q26)</f>
        <v>2739200</v>
      </c>
    </row>
    <row r="31" spans="2:16" ht="15" thickBot="1" x14ac:dyDescent="0.35"/>
    <row r="32" spans="2:16" ht="24" thickBot="1" x14ac:dyDescent="0.5">
      <c r="B32" s="59" t="s">
        <v>48</v>
      </c>
      <c r="C32" s="59"/>
      <c r="D32" s="59"/>
      <c r="G32" s="70" t="s">
        <v>51</v>
      </c>
      <c r="H32" s="71"/>
      <c r="I32" s="72" t="s">
        <v>55</v>
      </c>
      <c r="J32" s="73" t="s">
        <v>56</v>
      </c>
    </row>
    <row r="33" spans="2:10" ht="23.4" x14ac:dyDescent="0.45">
      <c r="B33" s="39" t="s">
        <v>49</v>
      </c>
      <c r="C33" s="60"/>
      <c r="D33" s="62">
        <v>900</v>
      </c>
      <c r="G33" s="42" t="s">
        <v>52</v>
      </c>
      <c r="H33" s="67"/>
      <c r="I33" s="68">
        <v>8300</v>
      </c>
      <c r="J33" s="52">
        <f>I33*D33</f>
        <v>7470000</v>
      </c>
    </row>
    <row r="34" spans="2:10" ht="23.4" x14ac:dyDescent="0.45">
      <c r="B34" s="42" t="s">
        <v>42</v>
      </c>
      <c r="C34" s="61"/>
      <c r="D34" s="63">
        <v>12500</v>
      </c>
      <c r="G34" s="42" t="s">
        <v>53</v>
      </c>
      <c r="H34" s="67"/>
      <c r="I34" s="68"/>
      <c r="J34" s="52">
        <v>180000</v>
      </c>
    </row>
    <row r="35" spans="2:10" ht="24" thickBot="1" x14ac:dyDescent="0.5">
      <c r="B35" s="64" t="s">
        <v>50</v>
      </c>
      <c r="C35" s="65"/>
      <c r="D35" s="66">
        <f>D33*D34</f>
        <v>11250000</v>
      </c>
      <c r="G35" s="42" t="s">
        <v>54</v>
      </c>
      <c r="H35" s="67"/>
      <c r="I35" s="68"/>
      <c r="J35" s="52">
        <v>25000</v>
      </c>
    </row>
    <row r="36" spans="2:10" ht="24" thickBot="1" x14ac:dyDescent="0.5">
      <c r="G36" s="43" t="s">
        <v>4</v>
      </c>
      <c r="H36" s="10"/>
      <c r="I36" s="69"/>
      <c r="J36" s="53">
        <v>5000</v>
      </c>
    </row>
    <row r="38" spans="2:10" ht="23.4" x14ac:dyDescent="0.45">
      <c r="B38" s="59" t="s">
        <v>57</v>
      </c>
      <c r="C38" s="81">
        <v>0.15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3074" r:id="rId4">
          <objectPr defaultSize="0" autoPict="0" r:id="rId5">
            <anchor moveWithCells="1">
              <from>
                <xdr:col>1</xdr:col>
                <xdr:colOff>0</xdr:colOff>
                <xdr:row>4</xdr:row>
                <xdr:rowOff>0</xdr:rowOff>
              </from>
              <to>
                <xdr:col>7</xdr:col>
                <xdr:colOff>731520</xdr:colOff>
                <xdr:row>14</xdr:row>
                <xdr:rowOff>76200</xdr:rowOff>
              </to>
            </anchor>
          </objectPr>
        </oleObject>
      </mc:Choice>
      <mc:Fallback>
        <oleObject progId="Word.Document.8" shapeId="3074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162D-3137-4132-90A8-6F86E8FDAA72}">
  <dimension ref="B2:J28"/>
  <sheetViews>
    <sheetView topLeftCell="A2" workbookViewId="0">
      <selection activeCell="D11" sqref="D11:D14"/>
    </sheetView>
  </sheetViews>
  <sheetFormatPr baseColWidth="10" defaultColWidth="11.44140625" defaultRowHeight="14.4" x14ac:dyDescent="0.3"/>
  <cols>
    <col min="1" max="1" width="15.5546875" style="1" customWidth="1"/>
    <col min="2" max="2" width="5.6640625" style="1" customWidth="1"/>
    <col min="3" max="3" width="33.33203125" style="1" customWidth="1"/>
    <col min="4" max="4" width="19.88671875" style="1" customWidth="1"/>
    <col min="5" max="5" width="13.44140625" style="1" customWidth="1"/>
    <col min="6" max="9" width="11.44140625" style="1"/>
    <col min="10" max="10" width="11.6640625" style="1" customWidth="1"/>
    <col min="11" max="16384" width="11.44140625" style="1"/>
  </cols>
  <sheetData>
    <row r="2" spans="2:10" ht="18" x14ac:dyDescent="0.35">
      <c r="C2" s="84" t="s">
        <v>25</v>
      </c>
    </row>
    <row r="3" spans="2:10" ht="15" thickBot="1" x14ac:dyDescent="0.35"/>
    <row r="4" spans="2:10" ht="15" thickBot="1" x14ac:dyDescent="0.35">
      <c r="B4" s="85"/>
      <c r="C4" s="86" t="s">
        <v>58</v>
      </c>
      <c r="D4" s="86"/>
      <c r="E4" s="87">
        <v>0</v>
      </c>
      <c r="F4" s="88">
        <v>1</v>
      </c>
      <c r="G4" s="88">
        <v>2</v>
      </c>
      <c r="H4" s="88">
        <v>3</v>
      </c>
      <c r="I4" s="88">
        <v>4</v>
      </c>
      <c r="J4" s="88">
        <v>5</v>
      </c>
    </row>
    <row r="5" spans="2:10" ht="18" x14ac:dyDescent="0.35">
      <c r="B5" s="7" t="s">
        <v>21</v>
      </c>
      <c r="C5" s="8" t="s">
        <v>0</v>
      </c>
      <c r="D5" s="2"/>
      <c r="E5" s="74"/>
      <c r="F5" s="74">
        <f>Datos!$D$35</f>
        <v>11250000</v>
      </c>
      <c r="G5" s="74">
        <f>Datos!$D$35</f>
        <v>11250000</v>
      </c>
      <c r="H5" s="74">
        <f>Datos!$D$35</f>
        <v>11250000</v>
      </c>
      <c r="I5" s="74">
        <f>Datos!$D$35</f>
        <v>11250000</v>
      </c>
      <c r="J5" s="75">
        <f>Datos!$D$35</f>
        <v>11250000</v>
      </c>
    </row>
    <row r="6" spans="2:10" ht="18" x14ac:dyDescent="0.35">
      <c r="B6" s="7" t="s">
        <v>22</v>
      </c>
      <c r="C6" s="5" t="s">
        <v>1</v>
      </c>
      <c r="D6" s="2"/>
      <c r="E6" s="76"/>
      <c r="F6" s="50">
        <f>-Datos!$J$33</f>
        <v>-7470000</v>
      </c>
      <c r="G6" s="50">
        <f>-Datos!$J$33</f>
        <v>-7470000</v>
      </c>
      <c r="H6" s="50">
        <f>-Datos!$J$33</f>
        <v>-7470000</v>
      </c>
      <c r="I6" s="50">
        <f>-Datos!$J$33</f>
        <v>-7470000</v>
      </c>
      <c r="J6" s="50">
        <f>-Datos!$J$33</f>
        <v>-7470000</v>
      </c>
    </row>
    <row r="7" spans="2:10" ht="18" x14ac:dyDescent="0.35">
      <c r="B7" s="7" t="s">
        <v>22</v>
      </c>
      <c r="C7" s="5" t="s">
        <v>2</v>
      </c>
      <c r="D7" s="2"/>
      <c r="E7" s="76"/>
      <c r="F7" s="50">
        <f>-Datos!$J$34</f>
        <v>-180000</v>
      </c>
      <c r="G7" s="50">
        <f>-Datos!$J$34</f>
        <v>-180000</v>
      </c>
      <c r="H7" s="50">
        <f>-Datos!$J$34</f>
        <v>-180000</v>
      </c>
      <c r="I7" s="50">
        <f>-Datos!$J$34</f>
        <v>-180000</v>
      </c>
      <c r="J7" s="50">
        <f>-Datos!$J$34</f>
        <v>-180000</v>
      </c>
    </row>
    <row r="8" spans="2:10" ht="18" x14ac:dyDescent="0.35">
      <c r="B8" s="7" t="s">
        <v>22</v>
      </c>
      <c r="C8" s="5" t="s">
        <v>3</v>
      </c>
      <c r="D8" s="2"/>
      <c r="E8" s="76"/>
      <c r="F8" s="50">
        <f>-Datos!$J$35</f>
        <v>-25000</v>
      </c>
      <c r="G8" s="50">
        <f>-Datos!$J$35</f>
        <v>-25000</v>
      </c>
      <c r="H8" s="50">
        <f>-Datos!$J$35</f>
        <v>-25000</v>
      </c>
      <c r="I8" s="50">
        <f>-Datos!$J$35</f>
        <v>-25000</v>
      </c>
      <c r="J8" s="50">
        <f>-Datos!$J$35</f>
        <v>-25000</v>
      </c>
    </row>
    <row r="9" spans="2:10" ht="18" x14ac:dyDescent="0.35">
      <c r="B9" s="7" t="s">
        <v>22</v>
      </c>
      <c r="C9" s="5" t="s">
        <v>4</v>
      </c>
      <c r="D9" s="2"/>
      <c r="E9" s="76"/>
      <c r="F9" s="50">
        <f>-Datos!$J$36</f>
        <v>-5000</v>
      </c>
      <c r="G9" s="50">
        <f>-Datos!$J$36</f>
        <v>-5000</v>
      </c>
      <c r="H9" s="50">
        <f>-Datos!$J$36</f>
        <v>-5000</v>
      </c>
      <c r="I9" s="50">
        <f>-Datos!$J$36</f>
        <v>-5000</v>
      </c>
      <c r="J9" s="50">
        <f>-Datos!$J$36</f>
        <v>-5000</v>
      </c>
    </row>
    <row r="10" spans="2:10" ht="18" x14ac:dyDescent="0.35">
      <c r="B10" s="7" t="s">
        <v>22</v>
      </c>
      <c r="C10" s="5" t="s">
        <v>6</v>
      </c>
      <c r="D10" s="2"/>
      <c r="E10" s="76"/>
      <c r="F10" s="50"/>
      <c r="G10" s="50"/>
      <c r="H10" s="50"/>
      <c r="I10" s="50"/>
      <c r="J10" s="50"/>
    </row>
    <row r="11" spans="2:10" x14ac:dyDescent="0.3">
      <c r="B11" s="5"/>
      <c r="C11" s="5"/>
      <c r="D11" s="2" t="s">
        <v>7</v>
      </c>
      <c r="E11" s="76"/>
      <c r="F11" s="50">
        <v>-4320</v>
      </c>
      <c r="G11" s="50">
        <v>-4320</v>
      </c>
      <c r="H11" s="50">
        <v>-4320</v>
      </c>
      <c r="I11" s="50">
        <v>-4320</v>
      </c>
      <c r="J11" s="50">
        <v>-4320</v>
      </c>
    </row>
    <row r="12" spans="2:10" x14ac:dyDescent="0.3">
      <c r="B12" s="5"/>
      <c r="C12" s="5"/>
      <c r="D12" s="2" t="s">
        <v>8</v>
      </c>
      <c r="E12" s="76"/>
      <c r="F12" s="50">
        <v>-21600</v>
      </c>
      <c r="G12" s="50">
        <v>-21600</v>
      </c>
      <c r="H12" s="50">
        <v>-21600</v>
      </c>
      <c r="I12" s="50">
        <v>-21600</v>
      </c>
      <c r="J12" s="50">
        <v>-21600</v>
      </c>
    </row>
    <row r="13" spans="2:10" x14ac:dyDescent="0.3">
      <c r="B13" s="5"/>
      <c r="C13" s="5"/>
      <c r="D13" s="2" t="s">
        <v>24</v>
      </c>
      <c r="E13" s="76"/>
      <c r="F13" s="50">
        <v>-105000</v>
      </c>
      <c r="G13" s="50">
        <v>-105000</v>
      </c>
      <c r="H13" s="50">
        <v>-105000</v>
      </c>
      <c r="I13" s="50">
        <v>-105000</v>
      </c>
      <c r="J13" s="50">
        <v>-105000</v>
      </c>
    </row>
    <row r="14" spans="2:10" x14ac:dyDescent="0.3">
      <c r="B14" s="5"/>
      <c r="C14" s="5"/>
      <c r="D14" s="2" t="s">
        <v>9</v>
      </c>
      <c r="E14" s="76"/>
      <c r="F14" s="50">
        <v>-60000</v>
      </c>
      <c r="G14" s="50">
        <v>-60000</v>
      </c>
      <c r="H14" s="50">
        <v>-60000</v>
      </c>
      <c r="I14" s="50">
        <v>-60000</v>
      </c>
      <c r="J14" s="50">
        <v>-60000</v>
      </c>
    </row>
    <row r="15" spans="2:10" ht="18.600000000000001" thickBot="1" x14ac:dyDescent="0.4">
      <c r="B15" s="7" t="s">
        <v>21</v>
      </c>
      <c r="C15" s="5" t="s">
        <v>10</v>
      </c>
      <c r="D15" s="2"/>
      <c r="E15" s="76"/>
      <c r="F15" s="50"/>
      <c r="G15" s="50"/>
      <c r="H15" s="50"/>
      <c r="I15" s="50"/>
      <c r="J15" s="51">
        <v>177720</v>
      </c>
    </row>
    <row r="16" spans="2:10" ht="18.600000000000001" thickBot="1" x14ac:dyDescent="0.4">
      <c r="B16" s="11" t="s">
        <v>23</v>
      </c>
      <c r="C16" s="12" t="s">
        <v>11</v>
      </c>
      <c r="D16" s="13"/>
      <c r="E16" s="77"/>
      <c r="F16" s="78">
        <f>SUM(F5:F15)</f>
        <v>3379080</v>
      </c>
      <c r="G16" s="78">
        <f t="shared" ref="G16:J16" si="0">SUM(G5:G15)</f>
        <v>3379080</v>
      </c>
      <c r="H16" s="78">
        <f t="shared" si="0"/>
        <v>3379080</v>
      </c>
      <c r="I16" s="78">
        <f t="shared" si="0"/>
        <v>3379080</v>
      </c>
      <c r="J16" s="78">
        <f t="shared" si="0"/>
        <v>3556800</v>
      </c>
    </row>
    <row r="17" spans="2:10" ht="18.600000000000001" thickBot="1" x14ac:dyDescent="0.4">
      <c r="B17" s="7" t="s">
        <v>22</v>
      </c>
      <c r="C17" s="5" t="s">
        <v>12</v>
      </c>
      <c r="D17" s="2"/>
      <c r="E17" s="76"/>
      <c r="F17" s="50">
        <f>-F16*Datos!$C$38</f>
        <v>-506862</v>
      </c>
      <c r="G17" s="50">
        <f>-G16*Datos!$C$38</f>
        <v>-506862</v>
      </c>
      <c r="H17" s="50">
        <f>-H16*Datos!$C$38</f>
        <v>-506862</v>
      </c>
      <c r="I17" s="50">
        <f>-I16*Datos!$C$38</f>
        <v>-506862</v>
      </c>
      <c r="J17" s="50">
        <f>-J16*Datos!$C$38</f>
        <v>-533520</v>
      </c>
    </row>
    <row r="18" spans="2:10" ht="18.600000000000001" thickBot="1" x14ac:dyDescent="0.4">
      <c r="B18" s="11" t="s">
        <v>23</v>
      </c>
      <c r="C18" s="12" t="s">
        <v>13</v>
      </c>
      <c r="D18" s="13"/>
      <c r="E18" s="77"/>
      <c r="F18" s="78">
        <f>SUM(F16:F17)</f>
        <v>2872218</v>
      </c>
      <c r="G18" s="78">
        <f t="shared" ref="G18:J18" si="1">SUM(G16:G17)</f>
        <v>2872218</v>
      </c>
      <c r="H18" s="78">
        <f t="shared" si="1"/>
        <v>2872218</v>
      </c>
      <c r="I18" s="78">
        <f t="shared" si="1"/>
        <v>2872218</v>
      </c>
      <c r="J18" s="78">
        <f t="shared" si="1"/>
        <v>3023280</v>
      </c>
    </row>
    <row r="19" spans="2:10" ht="18" x14ac:dyDescent="0.35">
      <c r="B19" s="7" t="s">
        <v>21</v>
      </c>
      <c r="C19" s="5" t="s">
        <v>6</v>
      </c>
      <c r="D19" s="2"/>
      <c r="E19" s="76"/>
      <c r="F19" s="50"/>
      <c r="G19" s="50"/>
      <c r="H19" s="50"/>
      <c r="I19" s="50"/>
      <c r="J19" s="79"/>
    </row>
    <row r="20" spans="2:10" x14ac:dyDescent="0.3">
      <c r="B20" s="5"/>
      <c r="C20" s="5"/>
      <c r="D20" s="2" t="s">
        <v>7</v>
      </c>
      <c r="E20" s="76"/>
      <c r="F20" s="50">
        <f>-F11</f>
        <v>4320</v>
      </c>
      <c r="G20" s="50">
        <f t="shared" ref="G20:J20" si="2">-G11</f>
        <v>4320</v>
      </c>
      <c r="H20" s="50">
        <f t="shared" si="2"/>
        <v>4320</v>
      </c>
      <c r="I20" s="50">
        <f t="shared" si="2"/>
        <v>4320</v>
      </c>
      <c r="J20" s="50">
        <f t="shared" si="2"/>
        <v>4320</v>
      </c>
    </row>
    <row r="21" spans="2:10" x14ac:dyDescent="0.3">
      <c r="B21" s="5"/>
      <c r="C21" s="5"/>
      <c r="D21" s="2" t="s">
        <v>8</v>
      </c>
      <c r="E21" s="76"/>
      <c r="F21" s="50">
        <f t="shared" ref="F21:J23" si="3">-F12</f>
        <v>21600</v>
      </c>
      <c r="G21" s="50">
        <f t="shared" si="3"/>
        <v>21600</v>
      </c>
      <c r="H21" s="50">
        <f t="shared" si="3"/>
        <v>21600</v>
      </c>
      <c r="I21" s="50">
        <f t="shared" si="3"/>
        <v>21600</v>
      </c>
      <c r="J21" s="50">
        <f t="shared" si="3"/>
        <v>21600</v>
      </c>
    </row>
    <row r="22" spans="2:10" x14ac:dyDescent="0.3">
      <c r="B22" s="5"/>
      <c r="C22" s="5"/>
      <c r="D22" s="2" t="s">
        <v>24</v>
      </c>
      <c r="E22" s="76"/>
      <c r="F22" s="50">
        <f>-F13</f>
        <v>105000</v>
      </c>
      <c r="G22" s="50">
        <f t="shared" ref="G22:J22" si="4">-G13</f>
        <v>105000</v>
      </c>
      <c r="H22" s="50">
        <f t="shared" si="4"/>
        <v>105000</v>
      </c>
      <c r="I22" s="50">
        <f t="shared" si="4"/>
        <v>105000</v>
      </c>
      <c r="J22" s="50">
        <f t="shared" si="4"/>
        <v>105000</v>
      </c>
    </row>
    <row r="23" spans="2:10" x14ac:dyDescent="0.3">
      <c r="B23" s="5"/>
      <c r="C23" s="5"/>
      <c r="D23" s="2" t="s">
        <v>9</v>
      </c>
      <c r="E23" s="76"/>
      <c r="F23" s="50">
        <f t="shared" si="3"/>
        <v>60000</v>
      </c>
      <c r="G23" s="50">
        <f t="shared" si="3"/>
        <v>60000</v>
      </c>
      <c r="H23" s="50">
        <f t="shared" si="3"/>
        <v>60000</v>
      </c>
      <c r="I23" s="50">
        <f t="shared" si="3"/>
        <v>60000</v>
      </c>
      <c r="J23" s="50">
        <f t="shared" si="3"/>
        <v>60000</v>
      </c>
    </row>
    <row r="24" spans="2:10" ht="18" x14ac:dyDescent="0.35">
      <c r="B24" s="7" t="s">
        <v>21</v>
      </c>
      <c r="C24" s="5" t="s">
        <v>10</v>
      </c>
      <c r="D24" s="2"/>
      <c r="E24" s="76"/>
      <c r="F24" s="50"/>
      <c r="G24" s="50"/>
      <c r="H24" s="50"/>
      <c r="I24" s="50"/>
      <c r="J24" s="79">
        <f>-J15</f>
        <v>-177720</v>
      </c>
    </row>
    <row r="25" spans="2:10" ht="18" x14ac:dyDescent="0.35">
      <c r="B25" s="7" t="s">
        <v>22</v>
      </c>
      <c r="C25" s="5" t="s">
        <v>17</v>
      </c>
      <c r="D25" s="2"/>
      <c r="E25" s="76">
        <f>-Datos!P27</f>
        <v>-2739200</v>
      </c>
      <c r="F25" s="50"/>
      <c r="G25" s="50"/>
      <c r="H25" s="50"/>
      <c r="I25" s="50"/>
      <c r="J25" s="79"/>
    </row>
    <row r="26" spans="2:10" ht="18.600000000000001" thickBot="1" x14ac:dyDescent="0.4">
      <c r="B26" s="7" t="s">
        <v>21</v>
      </c>
      <c r="C26" s="5" t="s">
        <v>18</v>
      </c>
      <c r="D26" s="2"/>
      <c r="E26" s="76"/>
      <c r="F26" s="50"/>
      <c r="G26" s="50"/>
      <c r="H26" s="50"/>
      <c r="I26" s="50"/>
      <c r="J26" s="79">
        <v>1962320</v>
      </c>
    </row>
    <row r="27" spans="2:10" ht="18.600000000000001" thickBot="1" x14ac:dyDescent="0.4">
      <c r="B27" s="11" t="s">
        <v>23</v>
      </c>
      <c r="C27" s="12" t="s">
        <v>19</v>
      </c>
      <c r="D27" s="82"/>
      <c r="E27" s="77">
        <f>SUM(E18:E26)</f>
        <v>-2739200</v>
      </c>
      <c r="F27" s="77">
        <f t="shared" ref="F27:J27" si="5">SUM(F18:F26)</f>
        <v>3063138</v>
      </c>
      <c r="G27" s="77">
        <f t="shared" si="5"/>
        <v>3063138</v>
      </c>
      <c r="H27" s="77">
        <f t="shared" si="5"/>
        <v>3063138</v>
      </c>
      <c r="I27" s="77">
        <f t="shared" si="5"/>
        <v>3063138</v>
      </c>
      <c r="J27" s="78">
        <f t="shared" si="5"/>
        <v>4998800</v>
      </c>
    </row>
    <row r="28" spans="2:10" ht="15" thickBot="1" x14ac:dyDescent="0.35">
      <c r="B28" s="6"/>
      <c r="C28" s="6" t="s">
        <v>20</v>
      </c>
      <c r="D28" s="83">
        <f>NPV(12%,F27:J27)+E27</f>
        <v>9401073.5692926478</v>
      </c>
      <c r="E28" s="80"/>
      <c r="F28" s="51"/>
      <c r="G28" s="51"/>
      <c r="H28" s="51"/>
      <c r="I28" s="51"/>
      <c r="J28" s="51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7FDA-6849-4568-BC39-D1B6D849B6FF}">
  <dimension ref="B2:J23"/>
  <sheetViews>
    <sheetView tabSelected="1" topLeftCell="A2" workbookViewId="0">
      <selection activeCell="K13" sqref="K13"/>
    </sheetView>
  </sheetViews>
  <sheetFormatPr baseColWidth="10" defaultColWidth="11.44140625" defaultRowHeight="14.4" x14ac:dyDescent="0.3"/>
  <cols>
    <col min="1" max="1" width="15.5546875" style="1" customWidth="1"/>
    <col min="2" max="2" width="5.6640625" style="1" customWidth="1"/>
    <col min="3" max="3" width="33.88671875" style="1" customWidth="1"/>
    <col min="4" max="4" width="19.88671875" style="1" customWidth="1"/>
    <col min="5" max="5" width="13.44140625" style="1" customWidth="1"/>
    <col min="6" max="16384" width="11.44140625" style="1"/>
  </cols>
  <sheetData>
    <row r="2" spans="2:10" ht="18" x14ac:dyDescent="0.35">
      <c r="C2" s="15" t="s">
        <v>26</v>
      </c>
    </row>
    <row r="3" spans="2:10" ht="15" thickBot="1" x14ac:dyDescent="0.35"/>
    <row r="4" spans="2:10" ht="15" thickBot="1" x14ac:dyDescent="0.35">
      <c r="B4" s="85"/>
      <c r="C4" s="86" t="s">
        <v>58</v>
      </c>
      <c r="D4" s="86"/>
      <c r="E4" s="87">
        <v>0</v>
      </c>
      <c r="F4" s="88">
        <v>1</v>
      </c>
      <c r="G4" s="88">
        <v>2</v>
      </c>
      <c r="H4" s="88">
        <v>3</v>
      </c>
      <c r="I4" s="88">
        <v>4</v>
      </c>
      <c r="J4" s="88">
        <v>5</v>
      </c>
    </row>
    <row r="5" spans="2:10" ht="18" x14ac:dyDescent="0.35">
      <c r="B5" s="7" t="s">
        <v>21</v>
      </c>
      <c r="C5" s="8" t="s">
        <v>0</v>
      </c>
      <c r="D5" s="2"/>
      <c r="E5" s="4"/>
      <c r="F5" s="2" t="s">
        <v>59</v>
      </c>
      <c r="G5" s="2" t="s">
        <v>59</v>
      </c>
      <c r="H5" s="2" t="s">
        <v>59</v>
      </c>
      <c r="I5" s="2" t="s">
        <v>59</v>
      </c>
      <c r="J5" s="2" t="s">
        <v>59</v>
      </c>
    </row>
    <row r="6" spans="2:10" ht="18" x14ac:dyDescent="0.35">
      <c r="B6" s="7" t="s">
        <v>22</v>
      </c>
      <c r="C6" s="5" t="s">
        <v>1</v>
      </c>
      <c r="D6" s="2"/>
      <c r="E6" s="5"/>
      <c r="F6" s="2" t="s">
        <v>60</v>
      </c>
      <c r="G6" s="2" t="s">
        <v>60</v>
      </c>
      <c r="H6" s="2" t="s">
        <v>60</v>
      </c>
      <c r="I6" s="2" t="s">
        <v>60</v>
      </c>
      <c r="J6" s="2" t="s">
        <v>60</v>
      </c>
    </row>
    <row r="7" spans="2:10" ht="18" x14ac:dyDescent="0.35">
      <c r="B7" s="7" t="s">
        <v>22</v>
      </c>
      <c r="C7" s="5" t="s">
        <v>2</v>
      </c>
      <c r="D7" s="2"/>
      <c r="E7" s="5"/>
      <c r="F7" s="2" t="s">
        <v>61</v>
      </c>
      <c r="G7" s="2" t="s">
        <v>61</v>
      </c>
      <c r="H7" s="2" t="s">
        <v>61</v>
      </c>
      <c r="I7" s="2" t="s">
        <v>61</v>
      </c>
      <c r="J7" s="2" t="s">
        <v>61</v>
      </c>
    </row>
    <row r="8" spans="2:10" ht="18" x14ac:dyDescent="0.35">
      <c r="B8" s="7" t="s">
        <v>22</v>
      </c>
      <c r="C8" s="5" t="s">
        <v>3</v>
      </c>
      <c r="D8" s="2"/>
      <c r="E8" s="5"/>
      <c r="F8" s="2" t="s">
        <v>62</v>
      </c>
      <c r="G8" s="2" t="s">
        <v>62</v>
      </c>
      <c r="H8" s="2" t="s">
        <v>62</v>
      </c>
      <c r="I8" s="2" t="s">
        <v>62</v>
      </c>
      <c r="J8" s="2" t="s">
        <v>62</v>
      </c>
    </row>
    <row r="9" spans="2:10" ht="18" x14ac:dyDescent="0.35">
      <c r="B9" s="7" t="s">
        <v>22</v>
      </c>
      <c r="C9" s="5" t="s">
        <v>4</v>
      </c>
      <c r="D9" s="2"/>
      <c r="E9" s="5"/>
      <c r="F9" s="2" t="s">
        <v>63</v>
      </c>
      <c r="G9" s="2" t="s">
        <v>63</v>
      </c>
      <c r="H9" s="2" t="s">
        <v>63</v>
      </c>
      <c r="I9" s="2" t="s">
        <v>63</v>
      </c>
      <c r="J9" s="2" t="s">
        <v>63</v>
      </c>
    </row>
    <row r="10" spans="2:10" ht="18" x14ac:dyDescent="0.35">
      <c r="B10" s="7" t="s">
        <v>22</v>
      </c>
      <c r="C10" s="5" t="s">
        <v>5</v>
      </c>
      <c r="D10" s="2"/>
      <c r="E10" s="5"/>
      <c r="F10" s="2" t="s">
        <v>64</v>
      </c>
      <c r="G10" s="1" t="s">
        <v>65</v>
      </c>
      <c r="H10" s="1" t="s">
        <v>66</v>
      </c>
      <c r="I10" s="2" t="s">
        <v>67</v>
      </c>
      <c r="J10" s="9" t="s">
        <v>68</v>
      </c>
    </row>
    <row r="11" spans="2:10" ht="18" x14ac:dyDescent="0.35">
      <c r="B11" s="7" t="s">
        <v>22</v>
      </c>
      <c r="C11" s="5" t="s">
        <v>6</v>
      </c>
      <c r="D11" s="2"/>
      <c r="E11" s="5"/>
      <c r="F11" s="2" t="s">
        <v>69</v>
      </c>
      <c r="G11" s="2" t="s">
        <v>69</v>
      </c>
      <c r="H11" s="2" t="s">
        <v>69</v>
      </c>
      <c r="I11" s="2" t="s">
        <v>69</v>
      </c>
      <c r="J11" s="2" t="s">
        <v>69</v>
      </c>
    </row>
    <row r="12" spans="2:10" ht="18.600000000000001" thickBot="1" x14ac:dyDescent="0.4">
      <c r="B12" s="7" t="s">
        <v>21</v>
      </c>
      <c r="C12" s="5" t="s">
        <v>10</v>
      </c>
      <c r="D12" s="2"/>
      <c r="E12" s="5"/>
      <c r="F12" s="2"/>
      <c r="G12" s="2"/>
      <c r="H12" s="2"/>
      <c r="I12" s="2"/>
      <c r="J12" s="1" t="s">
        <v>70</v>
      </c>
    </row>
    <row r="13" spans="2:10" ht="18.600000000000001" thickBot="1" x14ac:dyDescent="0.4">
      <c r="B13" s="11" t="s">
        <v>23</v>
      </c>
      <c r="C13" s="12" t="s">
        <v>11</v>
      </c>
      <c r="D13" s="13"/>
      <c r="E13" s="12"/>
      <c r="F13" s="13" t="s">
        <v>71</v>
      </c>
      <c r="G13" s="13" t="s">
        <v>72</v>
      </c>
      <c r="H13" s="13" t="s">
        <v>73</v>
      </c>
      <c r="I13" s="13" t="s">
        <v>74</v>
      </c>
      <c r="J13" s="14" t="s">
        <v>75</v>
      </c>
    </row>
    <row r="14" spans="2:10" ht="18.600000000000001" thickBot="1" x14ac:dyDescent="0.4">
      <c r="B14" s="7" t="s">
        <v>22</v>
      </c>
      <c r="C14" s="5" t="s">
        <v>12</v>
      </c>
      <c r="D14" s="2"/>
      <c r="E14" s="5"/>
      <c r="F14" s="1" t="s">
        <v>76</v>
      </c>
      <c r="G14" s="2" t="s">
        <v>77</v>
      </c>
      <c r="H14" s="2" t="s">
        <v>78</v>
      </c>
      <c r="I14" s="2" t="s">
        <v>79</v>
      </c>
      <c r="J14" s="9" t="s">
        <v>80</v>
      </c>
    </row>
    <row r="15" spans="2:10" ht="18.600000000000001" thickBot="1" x14ac:dyDescent="0.4">
      <c r="B15" s="11" t="s">
        <v>23</v>
      </c>
      <c r="C15" s="12" t="s">
        <v>13</v>
      </c>
      <c r="D15" s="13"/>
      <c r="E15" s="12"/>
      <c r="F15" s="13" t="s">
        <v>81</v>
      </c>
      <c r="G15" s="13" t="s">
        <v>82</v>
      </c>
      <c r="H15" s="13" t="s">
        <v>83</v>
      </c>
      <c r="I15" s="13" t="s">
        <v>84</v>
      </c>
      <c r="J15" s="14" t="s">
        <v>85</v>
      </c>
    </row>
    <row r="16" spans="2:10" ht="18" x14ac:dyDescent="0.35">
      <c r="B16" s="7" t="s">
        <v>21</v>
      </c>
      <c r="C16" s="5" t="s">
        <v>6</v>
      </c>
      <c r="D16" s="2"/>
      <c r="E16" s="5"/>
      <c r="F16" s="2" t="s">
        <v>86</v>
      </c>
      <c r="G16" s="2" t="s">
        <v>86</v>
      </c>
      <c r="H16" s="2" t="s">
        <v>86</v>
      </c>
      <c r="I16" s="2" t="s">
        <v>86</v>
      </c>
      <c r="J16" s="2" t="s">
        <v>86</v>
      </c>
    </row>
    <row r="17" spans="2:10" ht="18" x14ac:dyDescent="0.35">
      <c r="B17" s="7" t="s">
        <v>21</v>
      </c>
      <c r="C17" s="5" t="s">
        <v>14</v>
      </c>
      <c r="D17" s="2"/>
      <c r="E17" s="5"/>
      <c r="F17" s="2"/>
      <c r="G17" s="2"/>
      <c r="H17" s="2"/>
      <c r="I17" s="2"/>
      <c r="J17" s="9" t="s">
        <v>87</v>
      </c>
    </row>
    <row r="18" spans="2:10" ht="18" x14ac:dyDescent="0.35">
      <c r="B18" s="7" t="s">
        <v>21</v>
      </c>
      <c r="C18" s="5" t="s">
        <v>15</v>
      </c>
      <c r="D18" s="2"/>
      <c r="E18" s="1" t="s">
        <v>88</v>
      </c>
      <c r="F18" s="2"/>
      <c r="G18" s="2"/>
      <c r="H18" s="2"/>
      <c r="I18" s="2"/>
      <c r="J18" s="9"/>
    </row>
    <row r="19" spans="2:10" ht="18" x14ac:dyDescent="0.35">
      <c r="B19" s="7" t="s">
        <v>22</v>
      </c>
      <c r="C19" s="5" t="s">
        <v>16</v>
      </c>
      <c r="D19" s="2"/>
      <c r="E19" s="5"/>
      <c r="F19" s="1" t="s">
        <v>89</v>
      </c>
      <c r="G19" s="2" t="s">
        <v>90</v>
      </c>
      <c r="H19" s="2" t="s">
        <v>91</v>
      </c>
      <c r="I19" s="2" t="s">
        <v>92</v>
      </c>
      <c r="J19" s="9" t="s">
        <v>93</v>
      </c>
    </row>
    <row r="20" spans="2:10" ht="18" x14ac:dyDescent="0.35">
      <c r="B20" s="7" t="s">
        <v>22</v>
      </c>
      <c r="C20" s="5" t="s">
        <v>17</v>
      </c>
      <c r="D20" s="2"/>
      <c r="E20" s="1" t="s">
        <v>94</v>
      </c>
      <c r="F20" s="2"/>
      <c r="G20" s="2"/>
      <c r="H20" s="2"/>
      <c r="I20" s="2"/>
      <c r="J20" s="9"/>
    </row>
    <row r="21" spans="2:10" ht="18.600000000000001" thickBot="1" x14ac:dyDescent="0.4">
      <c r="B21" s="7" t="s">
        <v>21</v>
      </c>
      <c r="C21" s="5" t="s">
        <v>18</v>
      </c>
      <c r="D21" s="2"/>
      <c r="E21" s="5"/>
      <c r="F21" s="2"/>
      <c r="G21" s="2"/>
      <c r="H21" s="2"/>
      <c r="I21" s="2"/>
      <c r="J21" s="1" t="s">
        <v>95</v>
      </c>
    </row>
    <row r="22" spans="2:10" ht="18.600000000000001" thickBot="1" x14ac:dyDescent="0.4">
      <c r="B22" s="11" t="s">
        <v>23</v>
      </c>
      <c r="C22" s="12" t="s">
        <v>19</v>
      </c>
      <c r="D22" s="13"/>
      <c r="E22" s="12" t="s">
        <v>96</v>
      </c>
      <c r="F22" s="13" t="s">
        <v>97</v>
      </c>
      <c r="G22" s="13" t="s">
        <v>98</v>
      </c>
      <c r="H22" s="13" t="s">
        <v>99</v>
      </c>
      <c r="I22" s="13" t="s">
        <v>100</v>
      </c>
      <c r="J22" s="14" t="s">
        <v>101</v>
      </c>
    </row>
    <row r="23" spans="2:10" ht="15" thickBot="1" x14ac:dyDescent="0.35">
      <c r="B23" s="6"/>
      <c r="C23" s="6" t="s">
        <v>20</v>
      </c>
      <c r="D23" s="3" t="s">
        <v>102</v>
      </c>
      <c r="E23" s="6"/>
      <c r="F23" s="3"/>
      <c r="G23" s="3"/>
      <c r="H23" s="3"/>
      <c r="I23" s="3"/>
      <c r="J23" s="1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Proyecto Puro</vt:lpstr>
      <vt:lpstr>Proyecto Finaciado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IVAN RODRIGUEZ  ESPINOZA</dc:creator>
  <cp:lastModifiedBy>victor manuel vega cortes</cp:lastModifiedBy>
  <dcterms:created xsi:type="dcterms:W3CDTF">2024-09-24T13:05:22Z</dcterms:created>
  <dcterms:modified xsi:type="dcterms:W3CDTF">2025-11-07T10:30:28Z</dcterms:modified>
</cp:coreProperties>
</file>